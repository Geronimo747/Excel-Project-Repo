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82" documentId="8_{244C8E35-DAB8-414E-8848-0040370C00FC}" xr6:coauthVersionLast="47" xr6:coauthVersionMax="47" xr10:uidLastSave="{7DE58EA1-5467-47E9-9F1B-FB3642D4ADCF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<sst xmlns="http://schemas.openxmlformats.org/spreadsheetml/2006/main" count="93" uniqueCount="41">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</sst>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Q12" sqref="Q12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6" name="Range1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I10" sqref="I10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0"/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0"/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0"/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</row>
    <row r="8" spans="1:10">
      <c r="A8" t="s">
        <v>9</v>
      </c>
      <c r="B8" t="s">
        <v>34</v>
      </c>
      <c r="C8" s="26">
        <v>19888</v>
      </c>
      <c r="D8" t="s">
        <v>38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</row>
    <row r="16" spans="1:10">
      <c r="A16" t="s">
        <v>17</v>
      </c>
      <c r="B16" t="s">
        <v>34</v>
      </c>
      <c r="C16" s="26">
        <v>19345</v>
      </c>
      <c r="D16" t="s">
        <v>36</v>
      </c>
    </row>
    <row r="17" spans="1:4">
      <c r="A17" t="s">
        <v>18</v>
      </c>
      <c r="B17" t="s">
        <v>37</v>
      </c>
      <c r="C17" s="26">
        <v>38158</v>
      </c>
      <c r="D17" t="s">
        <v>35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25">
        <f t="shared" si="0"/>
        <v>73601</v>
      </c>
      <c r="C23">
        <f t="shared" si="1"/>
        <v>3</v>
      </c>
    </row>
    <row r="24" spans="1:4">
      <c r="A24" s="6" t="s">
        <v>40</v>
      </c>
      <c r="B24" s="28">
        <f>SUM(B21:B23)</f>
        <v>391056</v>
      </c>
      <c r="C24" s="7">
        <f>SUM(C21:C23)</f>
        <v>14</v>
      </c>
    </row>
    <row r="26" spans="1:4">
      <c r="A26" s="3" t="s">
        <v>31</v>
      </c>
      <c r="B26" s="3" t="s">
        <v>32</v>
      </c>
      <c r="C26" s="3" t="s">
        <v>39</v>
      </c>
    </row>
    <row r="27" spans="1:4">
      <c r="A27" t="s">
        <v>34</v>
      </c>
      <c r="B27" s="25">
        <f>SUMIF($B$4:$B$17,A27,$C$4:$C$17)</f>
        <v>253587</v>
      </c>
      <c r="C27">
        <f>COUNTIF(B4:B17,A27)</f>
        <v>9</v>
      </c>
    </row>
    <row r="28" spans="1:4">
      <c r="A28" t="s">
        <v>37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sqref="D4:D17" xr:uid="{7A93E9CB-E51D-4827-988D-8B0EA306E540}">
      <formula1>"Sales, Logistics, Purchasing"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D046EBA4-A48F-4B87-983F-C1DC2C25D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Geronimo Riedener</cp:lastModifiedBy>
  <cp:revision/>
  <dcterms:created xsi:type="dcterms:W3CDTF">2009-08-25T13:44:58Z</dcterms:created>
  <dcterms:modified xsi:type="dcterms:W3CDTF">2026-07-02T16:07:10Z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